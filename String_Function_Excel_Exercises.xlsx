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75" yWindow="525" windowWidth="16005" windowHeight="8490"/>
  </bookViews>
  <sheets>
    <sheet name="Dataset" sheetId="1" r:id="rId1"/>
    <sheet name="Exercises" sheetId="2" r:id="rId2"/>
  </sheets>
  <definedNames>
    <definedName name="_xlnm._FilterDatabase" localSheetId="0" hidden="1">Dataset!$J$1:$M$51</definedName>
  </definedNames>
  <calcPr calcId="125725"/>
</workbook>
</file>

<file path=xl/calcChain.xml><?xml version="1.0" encoding="utf-8"?>
<calcChain xmlns="http://schemas.openxmlformats.org/spreadsheetml/2006/main">
  <c r="L29" i="1"/>
  <c r="L51"/>
  <c r="L50"/>
  <c r="L49"/>
  <c r="L48"/>
  <c r="L47"/>
  <c r="L46"/>
  <c r="L35"/>
  <c r="L38"/>
  <c r="L37"/>
  <c r="L44"/>
  <c r="L43"/>
  <c r="L42"/>
  <c r="L41"/>
  <c r="M41" s="1"/>
  <c r="L40"/>
  <c r="L39"/>
  <c r="L36"/>
  <c r="L34"/>
  <c r="L33"/>
  <c r="L32"/>
  <c r="L31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</calcChain>
</file>

<file path=xl/sharedStrings.xml><?xml version="1.0" encoding="utf-8"?>
<sst xmlns="http://schemas.openxmlformats.org/spreadsheetml/2006/main" count="411" uniqueCount="312">
  <si>
    <t>ID</t>
  </si>
  <si>
    <t>Full Name</t>
  </si>
  <si>
    <t>Email</t>
  </si>
  <si>
    <t>Phone</t>
  </si>
  <si>
    <t>City</t>
  </si>
  <si>
    <t>Employee Code</t>
  </si>
  <si>
    <t>Notes</t>
  </si>
  <si>
    <t>Raj Kumar</t>
  </si>
  <si>
    <t>raj.kumar@gmail.com</t>
  </si>
  <si>
    <t>9876543210</t>
  </si>
  <si>
    <t>Chennai</t>
  </si>
  <si>
    <t>EMP-CHN-2024</t>
  </si>
  <si>
    <t>Aspiring for promotion</t>
  </si>
  <si>
    <t>Priya Mani</t>
  </si>
  <si>
    <t>priya_mani@yahoo.com</t>
  </si>
  <si>
    <t>9898123471</t>
  </si>
  <si>
    <t>Madurai</t>
  </si>
  <si>
    <t>EMP-MDU-1432</t>
  </si>
  <si>
    <t>On maternity leave</t>
  </si>
  <si>
    <t>Karthik S</t>
  </si>
  <si>
    <t>karthik.s@outlook.com</t>
  </si>
  <si>
    <t>9001234567</t>
  </si>
  <si>
    <t>Coimbatore</t>
  </si>
  <si>
    <t>EMP-CBE-1834</t>
  </si>
  <si>
    <t>Part-time</t>
  </si>
  <si>
    <t>Sneha R</t>
  </si>
  <si>
    <t>sneha.r@gmail.com</t>
  </si>
  <si>
    <t>9945627812</t>
  </si>
  <si>
    <t>Salem</t>
  </si>
  <si>
    <t>EMP-SLM-2765</t>
  </si>
  <si>
    <t>Top performer</t>
  </si>
  <si>
    <t>Manoj L</t>
  </si>
  <si>
    <t>manoj_l@yahoo.in</t>
  </si>
  <si>
    <t>9123456678</t>
  </si>
  <si>
    <t>Trichy</t>
  </si>
  <si>
    <t>EMP-TRY-9876</t>
  </si>
  <si>
    <t>Documentation pending</t>
  </si>
  <si>
    <t>Asha Devi</t>
  </si>
  <si>
    <t>asha.devi@hotmail.com</t>
  </si>
  <si>
    <t>9812345098</t>
  </si>
  <si>
    <t>EMP-CHN-7654</t>
  </si>
  <si>
    <t>New joiner</t>
  </si>
  <si>
    <t>Deepak M</t>
  </si>
  <si>
    <t>deepakm123@gmail.com</t>
  </si>
  <si>
    <t>9786543201</t>
  </si>
  <si>
    <t>Erode</t>
  </si>
  <si>
    <t>EMP-ERD-4456</t>
  </si>
  <si>
    <t>Transferred recently</t>
  </si>
  <si>
    <t>Anitha P</t>
  </si>
  <si>
    <t>anitha.p@company.com</t>
  </si>
  <si>
    <t>9798123400</t>
  </si>
  <si>
    <t>EMP-MDU-5644</t>
  </si>
  <si>
    <t>Remote worker</t>
  </si>
  <si>
    <t>Vignesh R</t>
  </si>
  <si>
    <t>vicky.r@gmail.com</t>
  </si>
  <si>
    <t>9801122334</t>
  </si>
  <si>
    <t>EMP-CHN-3345</t>
  </si>
  <si>
    <t>Needs training</t>
  </si>
  <si>
    <t>Saranya K</t>
  </si>
  <si>
    <t>saranya.k@info.in</t>
  </si>
  <si>
    <t>9867102345</t>
  </si>
  <si>
    <t>EMP-SLM-6755</t>
  </si>
  <si>
    <t>Excellent attendance</t>
  </si>
  <si>
    <t>Hari Prasad</t>
  </si>
  <si>
    <t>hariprasad07@gmail.com</t>
  </si>
  <si>
    <t>9815672345</t>
  </si>
  <si>
    <t>EMP-CBE-1122</t>
  </si>
  <si>
    <t>Pending appraisal</t>
  </si>
  <si>
    <t>Sudha L</t>
  </si>
  <si>
    <t>sudha_l@hotmail.com</t>
  </si>
  <si>
    <t>9823445678</t>
  </si>
  <si>
    <t>EMP-CHN-2311</t>
  </si>
  <si>
    <t>Leave request approved</t>
  </si>
  <si>
    <t>Bala Murugan</t>
  </si>
  <si>
    <t>bala.m@gmail.com</t>
  </si>
  <si>
    <t>9898776623</t>
  </si>
  <si>
    <t>EMP-MDU-4433</t>
  </si>
  <si>
    <t>Dinesh Kumar</t>
  </si>
  <si>
    <t>dinesh.k@company.org</t>
  </si>
  <si>
    <t>9765432109</t>
  </si>
  <si>
    <t>EMP-CBE-5566</t>
  </si>
  <si>
    <t>On probation</t>
  </si>
  <si>
    <t>Pavithra S</t>
  </si>
  <si>
    <t>pavi.s@gmail.com</t>
  </si>
  <si>
    <t>9945567891</t>
  </si>
  <si>
    <t>EMP-TRY-7722</t>
  </si>
  <si>
    <t>High potential</t>
  </si>
  <si>
    <t>Arunachalam P</t>
  </si>
  <si>
    <t>arun.p@office.com</t>
  </si>
  <si>
    <t>9009871234</t>
  </si>
  <si>
    <t>EMP-CHN-9901</t>
  </si>
  <si>
    <t>Contract renewal pending</t>
  </si>
  <si>
    <t>Ramya R</t>
  </si>
  <si>
    <t>ramya.r@yahoo.com</t>
  </si>
  <si>
    <t>7890654321</t>
  </si>
  <si>
    <t>EMP-ERD-6733</t>
  </si>
  <si>
    <t>Team lead</t>
  </si>
  <si>
    <t>Suresh B</t>
  </si>
  <si>
    <t>suresh_b@gmail.com</t>
  </si>
  <si>
    <t>8970654321</t>
  </si>
  <si>
    <t>EMP-SLM-9955</t>
  </si>
  <si>
    <t>Medical leave</t>
  </si>
  <si>
    <t>Leela Devi</t>
  </si>
  <si>
    <t>leela.devi@info.com</t>
  </si>
  <si>
    <t>9345612789</t>
  </si>
  <si>
    <t>EMP-MDU-2281</t>
  </si>
  <si>
    <t>Onboarding completed</t>
  </si>
  <si>
    <t>Pradeep S</t>
  </si>
  <si>
    <t>pradeep.s@company.com</t>
  </si>
  <si>
    <t>9123409876</t>
  </si>
  <si>
    <t>EMP-CHN-8812</t>
  </si>
  <si>
    <t>Needs mentorship</t>
  </si>
  <si>
    <t>Gayathri M</t>
  </si>
  <si>
    <t>gayu.m@yahoo.in</t>
  </si>
  <si>
    <t>9867123490</t>
  </si>
  <si>
    <t>EMP-CBE-0088</t>
  </si>
  <si>
    <t>Internal transfer</t>
  </si>
  <si>
    <t>Ajay K</t>
  </si>
  <si>
    <t>ajay.k@gmail.com</t>
  </si>
  <si>
    <t>9001900234</t>
  </si>
  <si>
    <t>EMP-MDU-3321</t>
  </si>
  <si>
    <t>On time always</t>
  </si>
  <si>
    <t>Krishna B</t>
  </si>
  <si>
    <t>krish.b@office.in</t>
  </si>
  <si>
    <t>9090909090</t>
  </si>
  <si>
    <t>EMP-CHN-8814</t>
  </si>
  <si>
    <t>Sangeetha P</t>
  </si>
  <si>
    <t>sangee.p@gmail.com</t>
  </si>
  <si>
    <t>9797979797</t>
  </si>
  <si>
    <t>EMP-ERD-2244</t>
  </si>
  <si>
    <t>Team player</t>
  </si>
  <si>
    <t>Monisha T</t>
  </si>
  <si>
    <t>moni.t@company.com</t>
  </si>
  <si>
    <t>8123456789</t>
  </si>
  <si>
    <t>EMP-CBE-5561</t>
  </si>
  <si>
    <t>John Peter</t>
  </si>
  <si>
    <t>johnpeter007@gmail.com</t>
  </si>
  <si>
    <t>9654321870</t>
  </si>
  <si>
    <t>EMP-CHN-1044</t>
  </si>
  <si>
    <t>International client</t>
  </si>
  <si>
    <t>Meena Lakshmi</t>
  </si>
  <si>
    <t>meena.l@office.org</t>
  </si>
  <si>
    <t>9765123490</t>
  </si>
  <si>
    <t>EMP-MDU-8891</t>
  </si>
  <si>
    <t>Project lead</t>
  </si>
  <si>
    <t>hem.m@gmail.com</t>
  </si>
  <si>
    <t>9123987654</t>
  </si>
  <si>
    <t>EMP-TRY-6611</t>
  </si>
  <si>
    <t>Shift worker</t>
  </si>
  <si>
    <t>Divya S</t>
  </si>
  <si>
    <t>divyas@yahoo.com</t>
  </si>
  <si>
    <t>9234567812</t>
  </si>
  <si>
    <t>EMP-ERD-3341</t>
  </si>
  <si>
    <t>Pending validation</t>
  </si>
  <si>
    <t>Rohit J</t>
  </si>
  <si>
    <t>rohit.j@hotmail.com</t>
  </si>
  <si>
    <t>9871203456</t>
  </si>
  <si>
    <t>EMP-CHN-7134</t>
  </si>
  <si>
    <t>Training completed</t>
  </si>
  <si>
    <t>Aishwarya D</t>
  </si>
  <si>
    <t>aishu.d@gmail.com</t>
  </si>
  <si>
    <t>9803456721</t>
  </si>
  <si>
    <t>EMP-SLM-9023</t>
  </si>
  <si>
    <t>Probation extended</t>
  </si>
  <si>
    <t>Kavin G</t>
  </si>
  <si>
    <t>kavin.g@company.com</t>
  </si>
  <si>
    <t>9098123456</t>
  </si>
  <si>
    <t>EMP-MDU-1199</t>
  </si>
  <si>
    <t>Strong communication</t>
  </si>
  <si>
    <t>Preethi N</t>
  </si>
  <si>
    <t>preethi.n@gmail.com</t>
  </si>
  <si>
    <t>9000765432</t>
  </si>
  <si>
    <t>EMP-ERD-3377</t>
  </si>
  <si>
    <t>Shift change requested</t>
  </si>
  <si>
    <t>Varun S</t>
  </si>
  <si>
    <t>varun_s@yahoo.com</t>
  </si>
  <si>
    <t>9345678123</t>
  </si>
  <si>
    <t>EMP-CBE-4432</t>
  </si>
  <si>
    <t>Good performer</t>
  </si>
  <si>
    <t>Keerthana P</t>
  </si>
  <si>
    <t>keerthi.p@gmail.com</t>
  </si>
  <si>
    <t>9865120901</t>
  </si>
  <si>
    <t>EMP-SLM-7731</t>
  </si>
  <si>
    <t>New trainee</t>
  </si>
  <si>
    <t>Siddharth R</t>
  </si>
  <si>
    <t>sid.r@office.com</t>
  </si>
  <si>
    <t>9234509876</t>
  </si>
  <si>
    <t>EMP-CHN-6654</t>
  </si>
  <si>
    <t>On promotion cycle</t>
  </si>
  <si>
    <t>Radha R</t>
  </si>
  <si>
    <t>radhar@gmail.com</t>
  </si>
  <si>
    <t>9345609871</t>
  </si>
  <si>
    <t>EMP-MDU-2201</t>
  </si>
  <si>
    <t>Flexible timing</t>
  </si>
  <si>
    <t>Naveen L</t>
  </si>
  <si>
    <t>navi.l@company.in</t>
  </si>
  <si>
    <t>9123978564</t>
  </si>
  <si>
    <t>EMP-ERD-6678</t>
  </si>
  <si>
    <t>Waiting for feedback</t>
  </si>
  <si>
    <t>Swathi K</t>
  </si>
  <si>
    <t>swathi.k@yahoo.com</t>
  </si>
  <si>
    <t>9812345678</t>
  </si>
  <si>
    <t>EMP-CBE-8890</t>
  </si>
  <si>
    <t>Project completed</t>
  </si>
  <si>
    <t>Mohan Raj</t>
  </si>
  <si>
    <t>mohan.r@gmail.com</t>
  </si>
  <si>
    <t>9888123455</t>
  </si>
  <si>
    <t>EMP-TRY-4412</t>
  </si>
  <si>
    <t>Needs improvement</t>
  </si>
  <si>
    <t>Tharani R</t>
  </si>
  <si>
    <t>tharani.r@office.org</t>
  </si>
  <si>
    <t>9876501234</t>
  </si>
  <si>
    <t>EMP-MDU-1212</t>
  </si>
  <si>
    <t>Cross-training</t>
  </si>
  <si>
    <t>Santhosh P</t>
  </si>
  <si>
    <t>san.p@gmail.com</t>
  </si>
  <si>
    <t>9345067123</t>
  </si>
  <si>
    <t>EMP-CHN-3409</t>
  </si>
  <si>
    <t>Updated records</t>
  </si>
  <si>
    <t>Maha L</t>
  </si>
  <si>
    <t>maha.l@yahoo.com</t>
  </si>
  <si>
    <t>9234012678</t>
  </si>
  <si>
    <t>EMP-ERD-5551</t>
  </si>
  <si>
    <t>No remarks</t>
  </si>
  <si>
    <t>Sujith S</t>
  </si>
  <si>
    <t>sujith_s@gmail.com</t>
  </si>
  <si>
    <t>9807604321</t>
  </si>
  <si>
    <t>EMP-CBE-7788</t>
  </si>
  <si>
    <t>Training needed</t>
  </si>
  <si>
    <t>Selvi T</t>
  </si>
  <si>
    <t>selvi.t@company.in</t>
  </si>
  <si>
    <t>9091765432</t>
  </si>
  <si>
    <t>EMP-SLM-2210</t>
  </si>
  <si>
    <t>Skill development</t>
  </si>
  <si>
    <t>Harsha V</t>
  </si>
  <si>
    <t>harsha.v@gmail.com</t>
  </si>
  <si>
    <t>9345678012</t>
  </si>
  <si>
    <t>EMP-CHN-9903</t>
  </si>
  <si>
    <t>Top contributor</t>
  </si>
  <si>
    <t>Jenifer R</t>
  </si>
  <si>
    <t>jenifer.r@hotmail.com</t>
  </si>
  <si>
    <t>8123098765</t>
  </si>
  <si>
    <t>EMP-MDU-7651</t>
  </si>
  <si>
    <t>Good quality work</t>
  </si>
  <si>
    <t>Sethu Raman</t>
  </si>
  <si>
    <t>sethur@office.com</t>
  </si>
  <si>
    <t>9123456702</t>
  </si>
  <si>
    <t>EMP-CBE-1188</t>
  </si>
  <si>
    <t>Rehire recommended</t>
  </si>
  <si>
    <t>Monika Devi</t>
  </si>
  <si>
    <t>monika_d@info.in</t>
  </si>
  <si>
    <t>9098234567</t>
  </si>
  <si>
    <t>EMP-SLM-3324</t>
  </si>
  <si>
    <t>Sankar M</t>
  </si>
  <si>
    <t>sankar.m@gmail.com</t>
  </si>
  <si>
    <t>9234567098</t>
  </si>
  <si>
    <t>EMP-CHN-2299</t>
  </si>
  <si>
    <t>Probation cleared</t>
  </si>
  <si>
    <t>No.</t>
  </si>
  <si>
    <t>Exercise (String Functions Only)</t>
  </si>
  <si>
    <t>Extract First Name from Full Name</t>
  </si>
  <si>
    <t>Extract Last Name</t>
  </si>
  <si>
    <t>Convert Full Name to UPPERCASE</t>
  </si>
  <si>
    <t>Convert Full Name to Proper Case</t>
  </si>
  <si>
    <t>Find length of Full Name</t>
  </si>
  <si>
    <t>Extract Email Domain</t>
  </si>
  <si>
    <t>Extract Email Username</t>
  </si>
  <si>
    <t>Extract last 4 digits of Phone</t>
  </si>
  <si>
    <t>Mask Phone Number</t>
  </si>
  <si>
    <t>Combine Name and City</t>
  </si>
  <si>
    <t>Extract City Code from Employee Code</t>
  </si>
  <si>
    <t>Extract Numeric Part of Employee Code</t>
  </si>
  <si>
    <t>Check if Email contains 'gmail'</t>
  </si>
  <si>
    <t>Find position of '@' in Email</t>
  </si>
  <si>
    <t>Extract everything after '@'</t>
  </si>
  <si>
    <t>Create Staff ID: first 3 letters + last 2 phone digits</t>
  </si>
  <si>
    <t>Remove dots from Full Name</t>
  </si>
  <si>
    <t>Replace hyphens in Employee Code with spaces</t>
  </si>
  <si>
    <t>Extract first 5 letters of Full Name</t>
  </si>
  <si>
    <t>Extract Initials</t>
  </si>
  <si>
    <t>Combine Name, City and ID</t>
  </si>
  <si>
    <t>Count characters excluding spaces</t>
  </si>
  <si>
    <t>Extract text inside parentheses from Notes</t>
  </si>
  <si>
    <t>Remove 'EMP-' from Employee Code</t>
  </si>
  <si>
    <t>Convert Notes to Sentence Case</t>
  </si>
  <si>
    <t>Extract last word of Notes</t>
  </si>
  <si>
    <t>Remove domain extension from Email</t>
  </si>
  <si>
    <t>Reverse Full Name</t>
  </si>
  <si>
    <t>Count vowels in Full Name</t>
  </si>
  <si>
    <t>Extract second word from Notes</t>
  </si>
  <si>
    <t>Extract city from Employee Code</t>
  </si>
  <si>
    <t>Create username: name + ID</t>
  </si>
  <si>
    <t>Remove numbers from Employee Code</t>
  </si>
  <si>
    <t>Extract only digits from Employee Code</t>
  </si>
  <si>
    <t>Check if Full Name &gt; 10 characters</t>
  </si>
  <si>
    <t>Extract only letters from Email username</t>
  </si>
  <si>
    <t>Extract only digits from Phone</t>
  </si>
  <si>
    <t>Mask Email username</t>
  </si>
  <si>
    <t>Create 8-character password from Full Name</t>
  </si>
  <si>
    <t>Capitalize only last name</t>
  </si>
  <si>
    <t>Merge City + last 3 phone digits</t>
  </si>
  <si>
    <t>Extract middle letter(s) of city</t>
  </si>
  <si>
    <t>Replace city with uppercase in a sentence</t>
  </si>
  <si>
    <t>Short code from Notes (initial of each word)</t>
  </si>
  <si>
    <t>Employee short tag (initials + city code)</t>
  </si>
  <si>
    <t>Check if name contains '.'</t>
  </si>
  <si>
    <t>Extract first word from Full Name</t>
  </si>
  <si>
    <t>Extract last word from Full Name</t>
  </si>
  <si>
    <t>Standardize phone: +91-number</t>
  </si>
  <si>
    <t>Count words in Notes</t>
  </si>
  <si>
    <t>Hemachandran.M</t>
  </si>
  <si>
    <t>(Poor attendance)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</si>
</sst>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topLeftCell="C1" workbookViewId="0">
      <pane ySplit="1" topLeftCell="A30" activePane="bottomLeft" state="frozen"/>
      <selection pane="bottomLeft" activeCell="L36" sqref="L36"/>
    </sheetView>
  </sheetViews>
  <sheetFormatPr defaultRowHeight="15"/>
  <cols>
    <col min="2" max="2" width="19.85546875" customWidth="1"/>
    <col min="3" max="3" width="24.5703125" customWidth="1"/>
    <col min="4" max="4" width="18.5703125" customWidth="1"/>
    <col min="5" max="5" width="16" customWidth="1"/>
    <col min="6" max="6" width="16.140625" customWidth="1"/>
    <col min="7" max="7" width="31.85546875" customWidth="1"/>
    <col min="8" max="9" width="0" hidden="1" customWidth="1"/>
    <col min="11" max="11" width="23.7109375" customWidth="1"/>
    <col min="12" max="12" width="20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" t="s">
        <v>258</v>
      </c>
      <c r="K1" s="1" t="s">
        <v>259</v>
      </c>
      <c r="L1">
        <v>9</v>
      </c>
    </row>
    <row r="2" spans="1:1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>
        <v>1</v>
      </c>
      <c r="K2" t="s">
        <v>260</v>
      </c>
      <c r="L2" t="str">
        <f>B2</f>
        <v>Raj Kumar</v>
      </c>
    </row>
    <row r="3" spans="1:1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J3">
        <v>2</v>
      </c>
      <c r="K3" t="s">
        <v>261</v>
      </c>
      <c r="L3" t="str">
        <f>B51</f>
        <v>Sankar M</v>
      </c>
    </row>
    <row r="4" spans="1:1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J4">
        <v>3</v>
      </c>
      <c r="K4" t="s">
        <v>262</v>
      </c>
      <c r="L4" t="str">
        <f>UPPER(B4)</f>
        <v>KARTHIK S</v>
      </c>
    </row>
    <row r="5" spans="1:12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J5">
        <v>4</v>
      </c>
      <c r="K5" t="s">
        <v>263</v>
      </c>
      <c r="L5" t="str">
        <f>PROPER(B5)</f>
        <v>Sneha R</v>
      </c>
    </row>
    <row r="6" spans="1:12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J6">
        <v>5</v>
      </c>
      <c r="K6" t="s">
        <v>264</v>
      </c>
      <c r="L6">
        <f>LEN(B6)</f>
        <v>7</v>
      </c>
    </row>
    <row r="7" spans="1:12">
      <c r="A7">
        <v>6</v>
      </c>
      <c r="B7" t="s">
        <v>37</v>
      </c>
      <c r="C7" t="s">
        <v>38</v>
      </c>
      <c r="D7" t="s">
        <v>39</v>
      </c>
      <c r="E7" t="s">
        <v>10</v>
      </c>
      <c r="F7" t="s">
        <v>40</v>
      </c>
      <c r="G7" t="s">
        <v>41</v>
      </c>
      <c r="J7">
        <v>6</v>
      </c>
      <c r="K7" t="s">
        <v>265</v>
      </c>
      <c r="L7" t="str">
        <f>RIGHT(C14,LEN(C14)-FIND("@",C14))</f>
        <v>gmail.com</v>
      </c>
    </row>
    <row r="8" spans="1:12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J8">
        <v>7</v>
      </c>
      <c r="K8" t="s">
        <v>266</v>
      </c>
      <c r="L8" t="str">
        <f>LEFT(C14,FIND("@",C14)-1)</f>
        <v>bala.m</v>
      </c>
    </row>
    <row r="9" spans="1:12">
      <c r="A9">
        <v>8</v>
      </c>
      <c r="B9" t="s">
        <v>48</v>
      </c>
      <c r="C9" t="s">
        <v>49</v>
      </c>
      <c r="D9" t="s">
        <v>50</v>
      </c>
      <c r="E9" t="s">
        <v>16</v>
      </c>
      <c r="F9" t="s">
        <v>51</v>
      </c>
      <c r="G9" t="s">
        <v>52</v>
      </c>
      <c r="J9">
        <v>8</v>
      </c>
      <c r="K9" t="s">
        <v>267</v>
      </c>
      <c r="L9" t="str">
        <f>RIGHT(D14,4)</f>
        <v>6623</v>
      </c>
    </row>
    <row r="10" spans="1:12">
      <c r="A10">
        <v>9</v>
      </c>
      <c r="B10" t="s">
        <v>53</v>
      </c>
      <c r="C10" t="s">
        <v>54</v>
      </c>
      <c r="D10" t="s">
        <v>55</v>
      </c>
      <c r="E10" t="s">
        <v>10</v>
      </c>
      <c r="F10" t="s">
        <v>56</v>
      </c>
      <c r="G10" t="s">
        <v>57</v>
      </c>
      <c r="J10">
        <v>9</v>
      </c>
      <c r="K10" t="s">
        <v>268</v>
      </c>
      <c r="L10" t="str">
        <f>REPT("*",LEN(D14)-4)&amp;RIGHT(D14,4)</f>
        <v>******6623</v>
      </c>
    </row>
    <row r="11" spans="1:12">
      <c r="A11">
        <v>10</v>
      </c>
      <c r="B11" t="s">
        <v>58</v>
      </c>
      <c r="C11" t="s">
        <v>59</v>
      </c>
      <c r="D11" t="s">
        <v>60</v>
      </c>
      <c r="E11" t="s">
        <v>28</v>
      </c>
      <c r="F11" t="s">
        <v>61</v>
      </c>
      <c r="G11" t="s">
        <v>62</v>
      </c>
      <c r="J11">
        <v>10</v>
      </c>
      <c r="K11" t="s">
        <v>269</v>
      </c>
      <c r="L11" t="str">
        <f>CONCATENATE(B14, E14)</f>
        <v>Bala MuruganMadurai</v>
      </c>
    </row>
    <row r="12" spans="1:12">
      <c r="A12">
        <v>11</v>
      </c>
      <c r="B12" t="s">
        <v>63</v>
      </c>
      <c r="C12" t="s">
        <v>64</v>
      </c>
      <c r="D12" t="s">
        <v>65</v>
      </c>
      <c r="E12" t="s">
        <v>22</v>
      </c>
      <c r="F12" t="s">
        <v>66</v>
      </c>
      <c r="G12" t="s">
        <v>67</v>
      </c>
      <c r="J12">
        <v>11</v>
      </c>
      <c r="K12" t="s">
        <v>270</v>
      </c>
      <c r="L12" t="str">
        <f>MID(F12,5,3)</f>
        <v>CBE</v>
      </c>
    </row>
    <row r="13" spans="1:12">
      <c r="A13">
        <v>12</v>
      </c>
      <c r="B13" t="s">
        <v>68</v>
      </c>
      <c r="C13" t="s">
        <v>69</v>
      </c>
      <c r="D13" t="s">
        <v>70</v>
      </c>
      <c r="E13" t="s">
        <v>10</v>
      </c>
      <c r="F13" t="s">
        <v>71</v>
      </c>
      <c r="G13" t="s">
        <v>72</v>
      </c>
      <c r="J13">
        <v>12</v>
      </c>
      <c r="K13" t="s">
        <v>271</v>
      </c>
      <c r="L13" t="str">
        <f>RIGHT(F13,4)</f>
        <v>2311</v>
      </c>
    </row>
    <row r="14" spans="1:12">
      <c r="A14">
        <v>13</v>
      </c>
      <c r="B14" t="s">
        <v>73</v>
      </c>
      <c r="C14" t="s">
        <v>74</v>
      </c>
      <c r="D14" t="s">
        <v>75</v>
      </c>
      <c r="E14" t="s">
        <v>16</v>
      </c>
      <c r="F14" t="s">
        <v>76</v>
      </c>
      <c r="G14" t="s">
        <v>24</v>
      </c>
      <c r="J14">
        <v>13</v>
      </c>
      <c r="K14" t="s">
        <v>272</v>
      </c>
      <c r="L14" t="b">
        <f>ISNUMBER(FIND("gmail",C14))</f>
        <v>1</v>
      </c>
    </row>
    <row r="15" spans="1:12">
      <c r="A15">
        <v>14</v>
      </c>
      <c r="B15" t="s">
        <v>77</v>
      </c>
      <c r="C15" t="s">
        <v>78</v>
      </c>
      <c r="D15" t="s">
        <v>79</v>
      </c>
      <c r="E15" t="s">
        <v>22</v>
      </c>
      <c r="F15" t="s">
        <v>80</v>
      </c>
      <c r="G15" t="s">
        <v>81</v>
      </c>
      <c r="J15">
        <v>14</v>
      </c>
      <c r="K15" t="s">
        <v>273</v>
      </c>
      <c r="L15">
        <f>FIND("@", C19)</f>
        <v>9</v>
      </c>
    </row>
    <row r="16" spans="1:12">
      <c r="A16">
        <v>15</v>
      </c>
      <c r="B16" t="s">
        <v>82</v>
      </c>
      <c r="C16" t="s">
        <v>83</v>
      </c>
      <c r="D16" t="s">
        <v>84</v>
      </c>
      <c r="E16" t="s">
        <v>34</v>
      </c>
      <c r="F16" t="s">
        <v>85</v>
      </c>
      <c r="G16" t="s">
        <v>86</v>
      </c>
      <c r="J16">
        <v>15</v>
      </c>
      <c r="K16" t="s">
        <v>274</v>
      </c>
      <c r="L16" t="str">
        <f>RIGHT(C14,LEN(C14)-FIND("@",C14))</f>
        <v>gmail.com</v>
      </c>
    </row>
    <row r="17" spans="1:12">
      <c r="A17">
        <v>16</v>
      </c>
      <c r="B17" t="s">
        <v>87</v>
      </c>
      <c r="C17" t="s">
        <v>88</v>
      </c>
      <c r="D17" t="s">
        <v>89</v>
      </c>
      <c r="E17" t="s">
        <v>10</v>
      </c>
      <c r="F17" t="s">
        <v>90</v>
      </c>
      <c r="G17" t="s">
        <v>91</v>
      </c>
      <c r="J17">
        <v>16</v>
      </c>
      <c r="K17" t="s">
        <v>275</v>
      </c>
      <c r="L17" t="str">
        <f>LEFT(B14,3)&amp;RIGHT(D14,2)</f>
        <v>Bal23</v>
      </c>
    </row>
    <row r="18" spans="1:12">
      <c r="A18">
        <v>17</v>
      </c>
      <c r="B18" t="s">
        <v>92</v>
      </c>
      <c r="C18" t="s">
        <v>93</v>
      </c>
      <c r="D18" t="s">
        <v>94</v>
      </c>
      <c r="E18" t="s">
        <v>45</v>
      </c>
      <c r="F18" t="s">
        <v>95</v>
      </c>
      <c r="G18" t="s">
        <v>96</v>
      </c>
      <c r="J18">
        <v>17</v>
      </c>
      <c r="K18" t="s">
        <v>276</v>
      </c>
      <c r="L18" t="str">
        <f>SUBSTITUTE(B29,"."," ")</f>
        <v>Hemachandran M</v>
      </c>
    </row>
    <row r="19" spans="1:12">
      <c r="A19">
        <v>18</v>
      </c>
      <c r="B19" t="s">
        <v>97</v>
      </c>
      <c r="C19" t="s">
        <v>98</v>
      </c>
      <c r="D19" t="s">
        <v>99</v>
      </c>
      <c r="E19" t="s">
        <v>28</v>
      </c>
      <c r="F19" t="s">
        <v>100</v>
      </c>
      <c r="G19" t="s">
        <v>101</v>
      </c>
      <c r="J19">
        <v>18</v>
      </c>
      <c r="K19" t="s">
        <v>277</v>
      </c>
      <c r="L19" t="str">
        <f>SUBSTITUTE(F19,"-"," ")</f>
        <v>EMP SLM 9955</v>
      </c>
    </row>
    <row r="20" spans="1:12">
      <c r="A20">
        <v>19</v>
      </c>
      <c r="B20" t="s">
        <v>102</v>
      </c>
      <c r="C20" t="s">
        <v>103</v>
      </c>
      <c r="D20" t="s">
        <v>104</v>
      </c>
      <c r="E20" t="s">
        <v>16</v>
      </c>
      <c r="F20" t="s">
        <v>105</v>
      </c>
      <c r="G20" t="s">
        <v>106</v>
      </c>
      <c r="J20">
        <v>19</v>
      </c>
      <c r="K20" t="s">
        <v>278</v>
      </c>
      <c r="L20" t="str">
        <f>LEFT(B20,5)</f>
        <v>Leela</v>
      </c>
    </row>
    <row r="21" spans="1:12">
      <c r="A21">
        <v>20</v>
      </c>
      <c r="B21" t="s">
        <v>107</v>
      </c>
      <c r="C21" t="s">
        <v>108</v>
      </c>
      <c r="D21" t="s">
        <v>109</v>
      </c>
      <c r="E21" t="s">
        <v>10</v>
      </c>
      <c r="F21" t="s">
        <v>110</v>
      </c>
      <c r="G21" t="s">
        <v>111</v>
      </c>
      <c r="J21">
        <v>20</v>
      </c>
      <c r="K21" t="s">
        <v>279</v>
      </c>
      <c r="L21" t="str">
        <f>RIGHT(B21,1)</f>
        <v>S</v>
      </c>
    </row>
    <row r="22" spans="1:12">
      <c r="A22">
        <v>21</v>
      </c>
      <c r="B22" t="s">
        <v>112</v>
      </c>
      <c r="C22" t="s">
        <v>113</v>
      </c>
      <c r="D22" t="s">
        <v>114</v>
      </c>
      <c r="E22" t="s">
        <v>22</v>
      </c>
      <c r="F22" t="s">
        <v>115</v>
      </c>
      <c r="G22" t="s">
        <v>116</v>
      </c>
      <c r="J22">
        <v>21</v>
      </c>
      <c r="K22" t="s">
        <v>280</v>
      </c>
      <c r="L22" t="str">
        <f>CONCATENATE(B22," ",E22," ",F22)</f>
        <v>Gayathri M Coimbatore EMP-CBE-0088</v>
      </c>
    </row>
    <row r="23" spans="1:12">
      <c r="A23">
        <v>22</v>
      </c>
      <c r="B23" t="s">
        <v>117</v>
      </c>
      <c r="C23" t="s">
        <v>118</v>
      </c>
      <c r="D23" t="s">
        <v>119</v>
      </c>
      <c r="E23" t="s">
        <v>16</v>
      </c>
      <c r="F23" t="s">
        <v>120</v>
      </c>
      <c r="G23" t="s">
        <v>121</v>
      </c>
      <c r="J23">
        <v>22</v>
      </c>
      <c r="K23" t="s">
        <v>281</v>
      </c>
      <c r="L23" t="str">
        <f>SUBSTITUTE(B14," ","")</f>
        <v>BalaMurugan</v>
      </c>
    </row>
    <row r="24" spans="1:12">
      <c r="A24">
        <v>23</v>
      </c>
      <c r="B24" t="s">
        <v>122</v>
      </c>
      <c r="C24" t="s">
        <v>123</v>
      </c>
      <c r="D24" t="s">
        <v>124</v>
      </c>
      <c r="E24" t="s">
        <v>10</v>
      </c>
      <c r="F24" t="s">
        <v>125</v>
      </c>
      <c r="G24" t="s">
        <v>311</v>
      </c>
      <c r="J24">
        <v>23</v>
      </c>
      <c r="K24" t="s">
        <v>282</v>
      </c>
      <c r="L24" t="str">
        <f>MID(G24,FIND("(",G24)+1,FIND(")",G24)-FIND("(",G24)-1)</f>
        <v>Poor attendance</v>
      </c>
    </row>
    <row r="25" spans="1:12">
      <c r="A25">
        <v>24</v>
      </c>
      <c r="B25" t="s">
        <v>126</v>
      </c>
      <c r="C25" t="s">
        <v>127</v>
      </c>
      <c r="D25" t="s">
        <v>128</v>
      </c>
      <c r="E25" t="s">
        <v>45</v>
      </c>
      <c r="F25" t="s">
        <v>129</v>
      </c>
      <c r="G25" t="s">
        <v>130</v>
      </c>
      <c r="J25">
        <v>24</v>
      </c>
      <c r="K25" t="s">
        <v>283</v>
      </c>
      <c r="L25" t="str">
        <f>SUBSTITUTE(F25,"EMP-"," ")</f>
        <v xml:space="preserve"> ERD-2244</v>
      </c>
    </row>
    <row r="26" spans="1:12">
      <c r="A26">
        <v>25</v>
      </c>
      <c r="B26" t="s">
        <v>131</v>
      </c>
      <c r="C26" t="s">
        <v>132</v>
      </c>
      <c r="D26" t="s">
        <v>133</v>
      </c>
      <c r="E26" t="s">
        <v>22</v>
      </c>
      <c r="F26" t="s">
        <v>134</v>
      </c>
      <c r="G26" t="s">
        <v>81</v>
      </c>
      <c r="J26">
        <v>25</v>
      </c>
      <c r="K26" t="s">
        <v>284</v>
      </c>
      <c r="L26" t="str">
        <f>UPPER(LEFT(G25,1)) &amp; LOWER(MID(G25,2,LEN(G25)))</f>
        <v>Team player</v>
      </c>
    </row>
    <row r="27" spans="1:12">
      <c r="A27">
        <v>26</v>
      </c>
      <c r="B27" t="s">
        <v>135</v>
      </c>
      <c r="C27" t="s">
        <v>136</v>
      </c>
      <c r="D27" t="s">
        <v>137</v>
      </c>
      <c r="E27" t="s">
        <v>10</v>
      </c>
      <c r="F27" t="s">
        <v>138</v>
      </c>
      <c r="G27" t="s">
        <v>139</v>
      </c>
      <c r="J27">
        <v>26</v>
      </c>
      <c r="K27" t="s">
        <v>285</v>
      </c>
      <c r="L27" t="str">
        <f>TRIM(RIGHT(SUBSTITUTE(G26," ",REPT(" ",100)),100))</f>
        <v>probation</v>
      </c>
    </row>
    <row r="28" spans="1:12">
      <c r="A28">
        <v>27</v>
      </c>
      <c r="B28" t="s">
        <v>140</v>
      </c>
      <c r="C28" t="s">
        <v>141</v>
      </c>
      <c r="D28" t="s">
        <v>142</v>
      </c>
      <c r="E28" t="s">
        <v>16</v>
      </c>
      <c r="F28" t="s">
        <v>143</v>
      </c>
      <c r="G28" t="s">
        <v>144</v>
      </c>
      <c r="J28">
        <v>27</v>
      </c>
      <c r="K28" t="s">
        <v>286</v>
      </c>
      <c r="L28" t="str">
        <f>LEFT(C14, FIND(".", C14, FIND("@", C14)) - 1)</f>
        <v>bala.m@gmail</v>
      </c>
    </row>
    <row r="29" spans="1:12">
      <c r="A29">
        <v>28</v>
      </c>
      <c r="B29" t="s">
        <v>310</v>
      </c>
      <c r="C29" t="s">
        <v>145</v>
      </c>
      <c r="D29" t="s">
        <v>146</v>
      </c>
      <c r="E29" t="s">
        <v>34</v>
      </c>
      <c r="F29" t="s">
        <v>147</v>
      </c>
      <c r="G29" t="s">
        <v>148</v>
      </c>
      <c r="J29">
        <v>28</v>
      </c>
      <c r="K29" t="s">
        <v>287</v>
      </c>
      <c r="L29" t="str">
        <f>TRIM(MID(B12,FIND(" ",B12)+1,99) )&amp; ", " &amp; LEFT(B12,FIND(" ",B12)-1)</f>
        <v>Prasad, Hari</v>
      </c>
    </row>
    <row r="30" spans="1:12">
      <c r="A30">
        <v>29</v>
      </c>
      <c r="B30" t="s">
        <v>149</v>
      </c>
      <c r="C30" t="s">
        <v>150</v>
      </c>
      <c r="D30" t="s">
        <v>151</v>
      </c>
      <c r="E30" t="s">
        <v>45</v>
      </c>
      <c r="F30" t="s">
        <v>152</v>
      </c>
      <c r="G30" t="s">
        <v>153</v>
      </c>
      <c r="J30">
        <v>29</v>
      </c>
      <c r="K30" t="s">
        <v>288</v>
      </c>
    </row>
    <row r="31" spans="1:12">
      <c r="A31">
        <v>30</v>
      </c>
      <c r="B31" t="s">
        <v>154</v>
      </c>
      <c r="C31" t="s">
        <v>155</v>
      </c>
      <c r="D31" t="s">
        <v>156</v>
      </c>
      <c r="E31" t="s">
        <v>10</v>
      </c>
      <c r="F31" t="s">
        <v>157</v>
      </c>
      <c r="G31" t="s">
        <v>158</v>
      </c>
      <c r="J31">
        <v>30</v>
      </c>
      <c r="K31" t="s">
        <v>289</v>
      </c>
      <c r="L31" t="str">
        <f>RIGHT(G31,9)</f>
        <v>completed</v>
      </c>
    </row>
    <row r="32" spans="1:12">
      <c r="A32">
        <v>31</v>
      </c>
      <c r="B32" t="s">
        <v>159</v>
      </c>
      <c r="C32" t="s">
        <v>160</v>
      </c>
      <c r="D32" t="s">
        <v>161</v>
      </c>
      <c r="E32" t="s">
        <v>28</v>
      </c>
      <c r="F32" t="s">
        <v>162</v>
      </c>
      <c r="G32" t="s">
        <v>163</v>
      </c>
      <c r="J32">
        <v>31</v>
      </c>
      <c r="K32" t="s">
        <v>290</v>
      </c>
      <c r="L32" t="str">
        <f>MID(F32,5,3)</f>
        <v>SLM</v>
      </c>
    </row>
    <row r="33" spans="1:13">
      <c r="A33">
        <v>32</v>
      </c>
      <c r="B33" t="s">
        <v>164</v>
      </c>
      <c r="C33" t="s">
        <v>165</v>
      </c>
      <c r="D33" t="s">
        <v>166</v>
      </c>
      <c r="E33" t="s">
        <v>16</v>
      </c>
      <c r="F33" t="s">
        <v>167</v>
      </c>
      <c r="G33" t="s">
        <v>168</v>
      </c>
      <c r="J33">
        <v>32</v>
      </c>
      <c r="K33" t="s">
        <v>291</v>
      </c>
      <c r="L33" t="str">
        <f>CONCATENATE(A33,B33)</f>
        <v>32Kavin G</v>
      </c>
    </row>
    <row r="34" spans="1:13">
      <c r="A34">
        <v>33</v>
      </c>
      <c r="B34" t="s">
        <v>169</v>
      </c>
      <c r="C34" t="s">
        <v>170</v>
      </c>
      <c r="D34" t="s">
        <v>171</v>
      </c>
      <c r="E34" t="s">
        <v>45</v>
      </c>
      <c r="F34" t="s">
        <v>172</v>
      </c>
      <c r="G34" t="s">
        <v>173</v>
      </c>
      <c r="J34">
        <v>33</v>
      </c>
      <c r="K34" t="s">
        <v>292</v>
      </c>
      <c r="L34" t="str">
        <f>LEFT(F34,7)</f>
        <v>EMP-ERD</v>
      </c>
    </row>
    <row r="35" spans="1:13">
      <c r="A35">
        <v>34</v>
      </c>
      <c r="B35" t="s">
        <v>174</v>
      </c>
      <c r="C35" t="s">
        <v>175</v>
      </c>
      <c r="D35" t="s">
        <v>176</v>
      </c>
      <c r="E35" t="s">
        <v>22</v>
      </c>
      <c r="F35" t="s">
        <v>177</v>
      </c>
      <c r="G35" t="s">
        <v>178</v>
      </c>
      <c r="J35">
        <v>34</v>
      </c>
      <c r="K35" t="s">
        <v>293</v>
      </c>
      <c r="L35">
        <f>LEN(TRIM(F35))</f>
        <v>12</v>
      </c>
    </row>
    <row r="36" spans="1:13">
      <c r="A36">
        <v>35</v>
      </c>
      <c r="B36" t="s">
        <v>179</v>
      </c>
      <c r="C36" t="s">
        <v>180</v>
      </c>
      <c r="D36" t="s">
        <v>181</v>
      </c>
      <c r="E36" t="s">
        <v>28</v>
      </c>
      <c r="F36" t="s">
        <v>182</v>
      </c>
      <c r="G36" t="s">
        <v>183</v>
      </c>
      <c r="J36">
        <v>35</v>
      </c>
      <c r="K36" t="s">
        <v>294</v>
      </c>
      <c r="L36" t="str">
        <f>IF(LEN(B36)&gt;10,"Yes","No")</f>
        <v>Yes</v>
      </c>
    </row>
    <row r="37" spans="1:13">
      <c r="A37">
        <v>36</v>
      </c>
      <c r="B37" t="s">
        <v>184</v>
      </c>
      <c r="C37" t="s">
        <v>185</v>
      </c>
      <c r="D37" t="s">
        <v>186</v>
      </c>
      <c r="E37" t="s">
        <v>10</v>
      </c>
      <c r="F37" t="s">
        <v>187</v>
      </c>
      <c r="G37" t="s">
        <v>188</v>
      </c>
      <c r="J37">
        <v>36</v>
      </c>
      <c r="K37" t="s">
        <v>295</v>
      </c>
      <c r="L37" t="str">
        <f>LEFT(C37,5)</f>
        <v>sid.r</v>
      </c>
    </row>
    <row r="38" spans="1:13">
      <c r="A38">
        <v>37</v>
      </c>
      <c r="B38" t="s">
        <v>189</v>
      </c>
      <c r="C38" t="s">
        <v>190</v>
      </c>
      <c r="D38" t="s">
        <v>191</v>
      </c>
      <c r="E38" t="s">
        <v>16</v>
      </c>
      <c r="F38" t="s">
        <v>192</v>
      </c>
      <c r="G38" t="s">
        <v>193</v>
      </c>
      <c r="J38">
        <v>37</v>
      </c>
      <c r="K38" t="s">
        <v>296</v>
      </c>
      <c r="L38">
        <f>LEN(TRIM(D38))</f>
        <v>10</v>
      </c>
    </row>
    <row r="39" spans="1:13">
      <c r="A39">
        <v>38</v>
      </c>
      <c r="B39" t="s">
        <v>194</v>
      </c>
      <c r="C39" t="s">
        <v>195</v>
      </c>
      <c r="D39" t="s">
        <v>196</v>
      </c>
      <c r="E39" t="s">
        <v>45</v>
      </c>
      <c r="F39" t="s">
        <v>197</v>
      </c>
      <c r="G39" t="s">
        <v>198</v>
      </c>
      <c r="J39">
        <v>38</v>
      </c>
      <c r="K39" t="s">
        <v>297</v>
      </c>
      <c r="L39" t="str">
        <f>SUBSTITUTE(C39,"navi.l@company.in","******@company.in")</f>
        <v>******@company.in</v>
      </c>
    </row>
    <row r="40" spans="1:13">
      <c r="A40">
        <v>39</v>
      </c>
      <c r="B40" t="s">
        <v>199</v>
      </c>
      <c r="C40" t="s">
        <v>200</v>
      </c>
      <c r="D40" t="s">
        <v>201</v>
      </c>
      <c r="E40" t="s">
        <v>22</v>
      </c>
      <c r="F40" t="s">
        <v>202</v>
      </c>
      <c r="G40" t="s">
        <v>203</v>
      </c>
      <c r="J40">
        <v>39</v>
      </c>
      <c r="K40" t="s">
        <v>298</v>
      </c>
      <c r="L40" t="str">
        <f>LEFT(B40,4)&amp;RIGHT(B40,4)</f>
        <v>Swathi K</v>
      </c>
    </row>
    <row r="41" spans="1:13">
      <c r="A41">
        <v>40</v>
      </c>
      <c r="B41" t="s">
        <v>204</v>
      </c>
      <c r="C41" t="s">
        <v>205</v>
      </c>
      <c r="D41" t="s">
        <v>206</v>
      </c>
      <c r="E41" t="s">
        <v>34</v>
      </c>
      <c r="F41" t="s">
        <v>207</v>
      </c>
      <c r="G41" t="s">
        <v>208</v>
      </c>
      <c r="J41">
        <v>40</v>
      </c>
      <c r="K41" t="s">
        <v>299</v>
      </c>
      <c r="L41" t="str">
        <f>RIGHT(B41,3)</f>
        <v>Raj</v>
      </c>
      <c r="M41" t="str">
        <f>UPPER(L41)</f>
        <v>RAJ</v>
      </c>
    </row>
    <row r="42" spans="1:13">
      <c r="A42">
        <v>41</v>
      </c>
      <c r="B42" t="s">
        <v>209</v>
      </c>
      <c r="C42" t="s">
        <v>210</v>
      </c>
      <c r="D42" t="s">
        <v>211</v>
      </c>
      <c r="E42" t="s">
        <v>16</v>
      </c>
      <c r="F42" t="s">
        <v>212</v>
      </c>
      <c r="G42" t="s">
        <v>213</v>
      </c>
      <c r="J42">
        <v>41</v>
      </c>
      <c r="K42" t="s">
        <v>300</v>
      </c>
      <c r="L42" t="str">
        <f>CONCATENATE(E42,RIGHT(D42,3))</f>
        <v>Madurai234</v>
      </c>
    </row>
    <row r="43" spans="1:13">
      <c r="A43">
        <v>42</v>
      </c>
      <c r="B43" t="s">
        <v>214</v>
      </c>
      <c r="C43" t="s">
        <v>215</v>
      </c>
      <c r="D43" t="s">
        <v>216</v>
      </c>
      <c r="E43" t="s">
        <v>10</v>
      </c>
      <c r="F43" t="s">
        <v>217</v>
      </c>
      <c r="G43" t="s">
        <v>218</v>
      </c>
      <c r="J43">
        <v>42</v>
      </c>
      <c r="K43" t="s">
        <v>301</v>
      </c>
      <c r="L43" t="str">
        <f>MID(E43,4,1)</f>
        <v>n</v>
      </c>
    </row>
    <row r="44" spans="1:13">
      <c r="A44">
        <v>43</v>
      </c>
      <c r="B44" t="s">
        <v>219</v>
      </c>
      <c r="C44" t="s">
        <v>220</v>
      </c>
      <c r="D44" t="s">
        <v>221</v>
      </c>
      <c r="E44" t="s">
        <v>45</v>
      </c>
      <c r="F44" t="s">
        <v>222</v>
      </c>
      <c r="G44" t="s">
        <v>223</v>
      </c>
      <c r="J44">
        <v>43</v>
      </c>
      <c r="K44" t="s">
        <v>302</v>
      </c>
      <c r="L44" t="str">
        <f>UPPER(E44)</f>
        <v>ERODE</v>
      </c>
    </row>
    <row r="45" spans="1:13">
      <c r="A45">
        <v>44</v>
      </c>
      <c r="B45" t="s">
        <v>224</v>
      </c>
      <c r="C45" t="s">
        <v>225</v>
      </c>
      <c r="D45" t="s">
        <v>226</v>
      </c>
      <c r="E45" t="s">
        <v>22</v>
      </c>
      <c r="F45" t="s">
        <v>227</v>
      </c>
      <c r="G45" t="s">
        <v>228</v>
      </c>
      <c r="J45">
        <v>44</v>
      </c>
      <c r="K45" t="s">
        <v>303</v>
      </c>
    </row>
    <row r="46" spans="1:13">
      <c r="A46">
        <v>45</v>
      </c>
      <c r="B46" t="s">
        <v>229</v>
      </c>
      <c r="C46" t="s">
        <v>230</v>
      </c>
      <c r="D46" t="s">
        <v>231</v>
      </c>
      <c r="E46" t="s">
        <v>28</v>
      </c>
      <c r="F46" t="s">
        <v>232</v>
      </c>
      <c r="G46" t="s">
        <v>233</v>
      </c>
      <c r="J46">
        <v>45</v>
      </c>
      <c r="K46" t="s">
        <v>304</v>
      </c>
      <c r="L46" t="str">
        <f>LEFT(B46,1)&amp;MID(B46,FIND(" ",B46)+1,1)&amp;MID(F46,5,3)</f>
        <v>STSLM</v>
      </c>
    </row>
    <row r="47" spans="1:13">
      <c r="A47">
        <v>46</v>
      </c>
      <c r="B47" t="s">
        <v>234</v>
      </c>
      <c r="C47" t="s">
        <v>235</v>
      </c>
      <c r="D47" t="s">
        <v>236</v>
      </c>
      <c r="E47" t="s">
        <v>10</v>
      </c>
      <c r="F47" t="s">
        <v>237</v>
      </c>
      <c r="G47" t="s">
        <v>238</v>
      </c>
      <c r="J47">
        <v>46</v>
      </c>
      <c r="K47" t="s">
        <v>305</v>
      </c>
      <c r="L47" t="str">
        <f>IF(ISNUMBER(FIND(".",B47)),"Yes","No")</f>
        <v>No</v>
      </c>
    </row>
    <row r="48" spans="1:13">
      <c r="A48">
        <v>47</v>
      </c>
      <c r="B48" t="s">
        <v>239</v>
      </c>
      <c r="C48" t="s">
        <v>240</v>
      </c>
      <c r="D48" t="s">
        <v>241</v>
      </c>
      <c r="E48" t="s">
        <v>16</v>
      </c>
      <c r="F48" t="s">
        <v>242</v>
      </c>
      <c r="G48" t="s">
        <v>243</v>
      </c>
      <c r="J48">
        <v>47</v>
      </c>
      <c r="K48" t="s">
        <v>306</v>
      </c>
      <c r="L48" t="str">
        <f>LEFT(B48,FIND(" ",B48)-1)</f>
        <v>Jenifer</v>
      </c>
    </row>
    <row r="49" spans="1:12">
      <c r="A49">
        <v>48</v>
      </c>
      <c r="B49" t="s">
        <v>244</v>
      </c>
      <c r="C49" t="s">
        <v>245</v>
      </c>
      <c r="D49" t="s">
        <v>246</v>
      </c>
      <c r="E49" t="s">
        <v>22</v>
      </c>
      <c r="F49" t="s">
        <v>247</v>
      </c>
      <c r="G49" t="s">
        <v>248</v>
      </c>
      <c r="J49">
        <v>48</v>
      </c>
      <c r="K49" t="s">
        <v>307</v>
      </c>
      <c r="L49" t="str">
        <f>RIGHT(B49,FIND(" ",B49)-1)</f>
        <v>Raman</v>
      </c>
    </row>
    <row r="50" spans="1:12">
      <c r="A50">
        <v>49</v>
      </c>
      <c r="B50" t="s">
        <v>249</v>
      </c>
      <c r="C50" t="s">
        <v>250</v>
      </c>
      <c r="D50" t="s">
        <v>251</v>
      </c>
      <c r="E50" t="s">
        <v>28</v>
      </c>
      <c r="F50" t="s">
        <v>252</v>
      </c>
      <c r="G50" t="s">
        <v>41</v>
      </c>
      <c r="J50">
        <v>49</v>
      </c>
      <c r="K50" t="s">
        <v>308</v>
      </c>
      <c r="L50" t="str">
        <f>"+91"&amp;D50</f>
        <v>+919098234567</v>
      </c>
    </row>
    <row r="51" spans="1:12">
      <c r="A51">
        <v>50</v>
      </c>
      <c r="B51" t="s">
        <v>253</v>
      </c>
      <c r="C51" t="s">
        <v>254</v>
      </c>
      <c r="D51" t="s">
        <v>255</v>
      </c>
      <c r="E51" t="s">
        <v>10</v>
      </c>
      <c r="F51" t="s">
        <v>256</v>
      </c>
      <c r="G51" t="s">
        <v>257</v>
      </c>
      <c r="J51">
        <v>50</v>
      </c>
      <c r="K51" t="s">
        <v>309</v>
      </c>
      <c r="L51">
        <f>LEN(G51)</f>
        <v>17</v>
      </c>
    </row>
  </sheetData>
  <autoFilter ref="J1:M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A51" sqref="A1:B51"/>
    </sheetView>
  </sheetViews>
  <sheetFormatPr defaultRowHeight="15"/>
  <cols>
    <col min="1" max="1" width="3.7109375" bestFit="1" customWidth="1"/>
    <col min="2" max="2" width="48.7109375" customWidth="1"/>
  </cols>
  <sheetData>
    <row r="1" spans="1:5">
      <c r="A1" s="1" t="s">
        <v>258</v>
      </c>
      <c r="B1" s="1" t="s">
        <v>259</v>
      </c>
      <c r="C1" s="1"/>
      <c r="D1" s="1"/>
      <c r="E1" s="1"/>
    </row>
    <row r="2" spans="1:5">
      <c r="A2">
        <v>1</v>
      </c>
      <c r="B2" t="s">
        <v>260</v>
      </c>
    </row>
    <row r="3" spans="1:5">
      <c r="A3">
        <v>2</v>
      </c>
      <c r="B3" t="s">
        <v>261</v>
      </c>
    </row>
    <row r="4" spans="1:5">
      <c r="A4">
        <v>3</v>
      </c>
      <c r="B4" t="s">
        <v>262</v>
      </c>
    </row>
    <row r="5" spans="1:5">
      <c r="A5">
        <v>4</v>
      </c>
      <c r="B5" t="s">
        <v>263</v>
      </c>
    </row>
    <row r="6" spans="1:5">
      <c r="A6">
        <v>5</v>
      </c>
      <c r="B6" t="s">
        <v>264</v>
      </c>
    </row>
    <row r="7" spans="1:5">
      <c r="A7">
        <v>6</v>
      </c>
      <c r="B7" t="s">
        <v>265</v>
      </c>
    </row>
    <row r="8" spans="1:5">
      <c r="A8">
        <v>7</v>
      </c>
      <c r="B8" t="s">
        <v>266</v>
      </c>
    </row>
    <row r="9" spans="1:5">
      <c r="A9">
        <v>8</v>
      </c>
      <c r="B9" t="s">
        <v>267</v>
      </c>
    </row>
    <row r="10" spans="1:5">
      <c r="A10">
        <v>9</v>
      </c>
      <c r="B10" t="s">
        <v>268</v>
      </c>
    </row>
    <row r="11" spans="1:5">
      <c r="A11">
        <v>10</v>
      </c>
      <c r="B11" t="s">
        <v>269</v>
      </c>
    </row>
    <row r="12" spans="1:5">
      <c r="A12">
        <v>11</v>
      </c>
      <c r="B12" t="s">
        <v>270</v>
      </c>
    </row>
    <row r="13" spans="1:5">
      <c r="A13">
        <v>12</v>
      </c>
      <c r="B13" t="s">
        <v>271</v>
      </c>
    </row>
    <row r="14" spans="1:5">
      <c r="A14">
        <v>13</v>
      </c>
      <c r="B14" t="s">
        <v>272</v>
      </c>
    </row>
    <row r="15" spans="1:5">
      <c r="A15">
        <v>14</v>
      </c>
      <c r="B15" t="s">
        <v>273</v>
      </c>
    </row>
    <row r="16" spans="1:5">
      <c r="A16">
        <v>15</v>
      </c>
      <c r="B16" t="s">
        <v>274</v>
      </c>
    </row>
    <row r="17" spans="1:2">
      <c r="A17">
        <v>16</v>
      </c>
      <c r="B17" t="s">
        <v>275</v>
      </c>
    </row>
    <row r="18" spans="1:2">
      <c r="A18">
        <v>17</v>
      </c>
      <c r="B18" t="s">
        <v>276</v>
      </c>
    </row>
    <row r="19" spans="1:2">
      <c r="A19">
        <v>18</v>
      </c>
      <c r="B19" t="s">
        <v>277</v>
      </c>
    </row>
    <row r="20" spans="1:2">
      <c r="A20">
        <v>19</v>
      </c>
      <c r="B20" t="s">
        <v>278</v>
      </c>
    </row>
    <row r="21" spans="1:2">
      <c r="A21">
        <v>20</v>
      </c>
      <c r="B21" t="s">
        <v>279</v>
      </c>
    </row>
    <row r="22" spans="1:2">
      <c r="A22">
        <v>21</v>
      </c>
      <c r="B22" t="s">
        <v>280</v>
      </c>
    </row>
    <row r="23" spans="1:2">
      <c r="A23">
        <v>22</v>
      </c>
      <c r="B23" t="s">
        <v>281</v>
      </c>
    </row>
    <row r="24" spans="1:2">
      <c r="A24">
        <v>23</v>
      </c>
      <c r="B24" t="s">
        <v>282</v>
      </c>
    </row>
    <row r="25" spans="1:2">
      <c r="A25">
        <v>24</v>
      </c>
      <c r="B25" t="s">
        <v>283</v>
      </c>
    </row>
    <row r="26" spans="1:2">
      <c r="A26">
        <v>25</v>
      </c>
      <c r="B26" t="s">
        <v>284</v>
      </c>
    </row>
    <row r="27" spans="1:2">
      <c r="A27">
        <v>26</v>
      </c>
      <c r="B27" t="s">
        <v>285</v>
      </c>
    </row>
    <row r="28" spans="1:2">
      <c r="A28">
        <v>27</v>
      </c>
      <c r="B28" t="s">
        <v>286</v>
      </c>
    </row>
    <row r="29" spans="1:2">
      <c r="A29">
        <v>28</v>
      </c>
      <c r="B29" t="s">
        <v>287</v>
      </c>
    </row>
    <row r="30" spans="1:2">
      <c r="A30">
        <v>29</v>
      </c>
      <c r="B30" t="s">
        <v>288</v>
      </c>
    </row>
    <row r="31" spans="1:2">
      <c r="A31">
        <v>30</v>
      </c>
      <c r="B31" t="s">
        <v>289</v>
      </c>
    </row>
    <row r="32" spans="1:2">
      <c r="A32">
        <v>31</v>
      </c>
      <c r="B32" t="s">
        <v>290</v>
      </c>
    </row>
    <row r="33" spans="1:2">
      <c r="A33">
        <v>32</v>
      </c>
      <c r="B33" t="s">
        <v>291</v>
      </c>
    </row>
    <row r="34" spans="1:2">
      <c r="A34">
        <v>33</v>
      </c>
      <c r="B34" t="s">
        <v>292</v>
      </c>
    </row>
    <row r="35" spans="1:2">
      <c r="A35">
        <v>34</v>
      </c>
      <c r="B35" t="s">
        <v>293</v>
      </c>
    </row>
    <row r="36" spans="1:2">
      <c r="A36">
        <v>35</v>
      </c>
      <c r="B36" t="s">
        <v>294</v>
      </c>
    </row>
    <row r="37" spans="1:2">
      <c r="A37">
        <v>36</v>
      </c>
      <c r="B37" t="s">
        <v>295</v>
      </c>
    </row>
    <row r="38" spans="1:2">
      <c r="A38">
        <v>37</v>
      </c>
      <c r="B38" t="s">
        <v>296</v>
      </c>
    </row>
    <row r="39" spans="1:2">
      <c r="A39">
        <v>38</v>
      </c>
      <c r="B39" t="s">
        <v>297</v>
      </c>
    </row>
    <row r="40" spans="1:2">
      <c r="A40">
        <v>39</v>
      </c>
      <c r="B40" t="s">
        <v>298</v>
      </c>
    </row>
    <row r="41" spans="1:2">
      <c r="A41">
        <v>40</v>
      </c>
      <c r="B41" t="s">
        <v>299</v>
      </c>
    </row>
    <row r="42" spans="1:2">
      <c r="A42">
        <v>41</v>
      </c>
      <c r="B42" t="s">
        <v>300</v>
      </c>
    </row>
    <row r="43" spans="1:2">
      <c r="A43">
        <v>42</v>
      </c>
      <c r="B43" t="s">
        <v>301</v>
      </c>
    </row>
    <row r="44" spans="1:2">
      <c r="A44">
        <v>43</v>
      </c>
      <c r="B44" t="s">
        <v>302</v>
      </c>
    </row>
    <row r="45" spans="1:2">
      <c r="A45">
        <v>44</v>
      </c>
      <c r="B45" t="s">
        <v>303</v>
      </c>
    </row>
    <row r="46" spans="1:2">
      <c r="A46">
        <v>45</v>
      </c>
      <c r="B46" t="s">
        <v>304</v>
      </c>
    </row>
    <row r="47" spans="1:2">
      <c r="A47">
        <v>46</v>
      </c>
      <c r="B47" t="s">
        <v>305</v>
      </c>
    </row>
    <row r="48" spans="1:2">
      <c r="A48">
        <v>47</v>
      </c>
      <c r="B48" t="s">
        <v>306</v>
      </c>
    </row>
    <row r="49" spans="1:2">
      <c r="A49">
        <v>48</v>
      </c>
      <c r="B49" t="s">
        <v>307</v>
      </c>
    </row>
    <row r="50" spans="1:2">
      <c r="A50">
        <v>49</v>
      </c>
      <c r="B50" t="s">
        <v>308</v>
      </c>
    </row>
    <row r="51" spans="1:2">
      <c r="A51">
        <v>50</v>
      </c>
      <c r="B51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Exercises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2025-11-18T08:43:53Z</dcterms:created>
  <dcterms:modified xsi:type="dcterms:W3CDTF">2025-11-20T10:08:44Z</dcterms:modified>
</cp:coreProperties>
</file>